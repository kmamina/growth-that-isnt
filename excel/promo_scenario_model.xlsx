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Data_Groups" sheetId="2" state="visible" r:id="rId2"/>
    <sheet name="Promo_Economics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9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9" fontId="1" fillId="2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</cols>
  <sheetData>
    <row r="1">
      <c r="A1" s="1" t="inlineStr">
        <is>
          <t>Scenario: remove the first_order_flat promo (Q0 new-customer cohort, 90-day view)</t>
        </is>
      </c>
    </row>
    <row r="3">
      <c r="A3" s="2" t="inlineStr">
        <is>
          <t>DATA (from Data_Groups)</t>
        </is>
      </c>
    </row>
    <row r="4">
      <c r="A4" t="inlineStr">
        <is>
          <t>Q0 new customers</t>
        </is>
      </c>
      <c r="B4" s="3">
        <f>SUM(Data_Groups!B2:B4)</f>
        <v/>
      </c>
    </row>
    <row r="5">
      <c r="A5" t="inlineStr">
        <is>
          <t>Share of new customers on first_order_flat</t>
        </is>
      </c>
      <c r="B5" s="4">
        <f>Data_Groups!B2/B4</f>
        <v/>
      </c>
    </row>
    <row r="6">
      <c r="A6" t="inlineStr">
        <is>
          <t>90-day CM per customer, flat-promo group ($)</t>
        </is>
      </c>
      <c r="B6" s="5">
        <f>Data_Groups!D2</f>
        <v/>
      </c>
    </row>
    <row r="7">
      <c r="A7" t="inlineStr">
        <is>
          <t>90-day CM per customer, all other new customers ($)</t>
        </is>
      </c>
      <c r="B7" s="5">
        <f>(Data_Groups!B3*Data_Groups!D3+Data_Groups!B4*Data_Groups!D4)/(Data_Groups!B3+Data_Groups!B4)</f>
        <v/>
      </c>
    </row>
    <row r="8">
      <c r="A8" t="inlineStr">
        <is>
          <t>90-day repeat rate, flat-promo group</t>
        </is>
      </c>
      <c r="B8" s="4">
        <f>Data_Groups!C2</f>
        <v/>
      </c>
    </row>
    <row r="9">
      <c r="A9" t="inlineStr">
        <is>
          <t>90-day repeat rate, all other new customers</t>
        </is>
      </c>
      <c r="B9" s="4">
        <f>(Data_Groups!B3*Data_Groups!C3+Data_Groups!B4*Data_Groups!C4)/(Data_Groups!B3+Data_Groups!B4)</f>
        <v/>
      </c>
    </row>
    <row r="11">
      <c r="A11" s="2" t="inlineStr">
        <is>
          <t>ASSUMPTIONS (blue cells are editable)</t>
        </is>
      </c>
    </row>
    <row r="12">
      <c r="A12" t="inlineStr">
        <is>
          <t>Share of flat-promo customers who never sign up without the promo</t>
        </is>
      </c>
      <c r="B12" s="6" t="n">
        <v>0.2</v>
      </c>
    </row>
    <row r="13">
      <c r="A13" t="inlineStr">
        <is>
          <t>Value of the ones who stay, as % of a normal non-flat customer</t>
        </is>
      </c>
      <c r="B13" s="6" t="n">
        <v>0.8</v>
      </c>
    </row>
    <row r="15">
      <c r="A15" s="2" t="inlineStr">
        <is>
          <t>RESULTS</t>
        </is>
      </c>
    </row>
    <row r="16">
      <c r="A16" t="inlineStr">
        <is>
          <t>Baseline 90-day CM, Q0 cohort ($)</t>
        </is>
      </c>
      <c r="B16" s="3">
        <f>B4*B5*B6+B4*(1-B5)*B7</f>
        <v/>
      </c>
    </row>
    <row r="17">
      <c r="A17" t="inlineStr">
        <is>
          <t>Scenario 90-day CM ($)</t>
        </is>
      </c>
      <c r="B17" s="3">
        <f>B4*(1-B5)*B7+B4*B5*(1-B12)*B7*B13</f>
        <v/>
      </c>
    </row>
    <row r="18">
      <c r="A18" t="inlineStr">
        <is>
          <t>Change in 90-day CM ($)</t>
        </is>
      </c>
      <c r="B18" s="3">
        <f>B17-B16</f>
        <v/>
      </c>
    </row>
    <row r="19">
      <c r="A19" t="inlineStr">
        <is>
          <t>New customers lost</t>
        </is>
      </c>
      <c r="B19" s="3">
        <f>B4*B5*B12</f>
        <v/>
      </c>
    </row>
    <row r="20">
      <c r="A20" t="inlineStr">
        <is>
          <t>Baseline 90-day repeat rate</t>
        </is>
      </c>
      <c r="B20" s="4">
        <f>(B4*B5*B8+B4*(1-B5)*B9)/B4</f>
        <v/>
      </c>
    </row>
    <row r="21">
      <c r="A21" t="inlineStr">
        <is>
          <t>Scenario 90-day repeat rate</t>
        </is>
      </c>
      <c r="B21" s="4">
        <f>(B4*(1-B5)*B9+B4*B5*(1-B12)*B9)/(B4-B19)</f>
        <v/>
      </c>
    </row>
    <row r="22">
      <c r="A22" t="inlineStr">
        <is>
          <t>Break-even share lost (capped at 100%)</t>
        </is>
      </c>
      <c r="B22" s="4">
        <f>MAX(0,MIN(1,1-B6/(B7*B13)))</f>
        <v/>
      </c>
    </row>
    <row r="24">
      <c r="A24" s="7" t="inlineStr">
        <is>
          <t>Notes: the scenario assumes customers who stay behave like other new customers; a lower value in B13 is a haircut for their higher promo sensitivity. This is an assumption, not a measured effect. Lost customers also mean lost GMV and growth, which this CM-only view does not price.</t>
        </is>
      </c>
    </row>
    <row r="25"/>
    <row r="26"/>
    <row r="27"/>
  </sheetData>
  <mergeCells count="1">
    <mergeCell ref="A24:C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8" t="inlineStr">
        <is>
          <t>First-order group (Q0 cohort)</t>
        </is>
      </c>
      <c r="B1" s="8" t="inlineStr">
        <is>
          <t>Customers</t>
        </is>
      </c>
      <c r="C1" s="8" t="inlineStr">
        <is>
          <t>90-day repeat rate</t>
        </is>
      </c>
      <c r="D1" s="8" t="inlineStr">
        <is>
          <t>90-day CM per customer ($)</t>
        </is>
      </c>
      <c r="E1" s="8" t="inlineStr">
        <is>
          <t>Orders in 90 days</t>
        </is>
      </c>
    </row>
    <row r="2">
      <c r="A2" t="inlineStr">
        <is>
          <t>first_order_flat</t>
        </is>
      </c>
      <c r="B2" t="n">
        <v>2579</v>
      </c>
      <c r="C2" s="4" t="n">
        <v>0.138</v>
      </c>
      <c r="D2" s="5" t="n">
        <v>-0.353</v>
      </c>
      <c r="E2" s="5" t="n">
        <v>1.788</v>
      </c>
    </row>
    <row r="3">
      <c r="A3" t="inlineStr">
        <is>
          <t>other_promo</t>
        </is>
      </c>
      <c r="B3" t="n">
        <v>2583</v>
      </c>
      <c r="C3" s="4" t="n">
        <v>0.42</v>
      </c>
      <c r="D3" s="5" t="n">
        <v>3.901</v>
      </c>
      <c r="E3" s="5" t="n">
        <v>3.416</v>
      </c>
    </row>
    <row r="4">
      <c r="A4" t="inlineStr">
        <is>
          <t>no_promo</t>
        </is>
      </c>
      <c r="B4" t="n">
        <v>2243</v>
      </c>
      <c r="C4" s="4" t="n">
        <v>0.443</v>
      </c>
      <c r="D4" s="5" t="n">
        <v>9.583</v>
      </c>
      <c r="E4" s="5" t="n">
        <v>3.602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promo_type</t>
        </is>
      </c>
      <c r="B1" s="8" t="inlineStr">
        <is>
          <t>orders</t>
        </is>
      </c>
      <c r="C1" s="8" t="inlineStr">
        <is>
          <t>gmv</t>
        </is>
      </c>
      <c r="D1" s="8" t="inlineStr">
        <is>
          <t>discount</t>
        </is>
      </c>
      <c r="E1" s="8" t="inlineStr">
        <is>
          <t>discount_rate</t>
        </is>
      </c>
      <c r="F1" s="8" t="inlineStr">
        <is>
          <t>cm_per_order</t>
        </is>
      </c>
    </row>
    <row r="2">
      <c r="A2" t="inlineStr">
        <is>
          <t>no_promo</t>
        </is>
      </c>
      <c r="B2" t="n">
        <v>98432</v>
      </c>
      <c r="C2" t="n">
        <v>1864139</v>
      </c>
      <c r="D2" t="n">
        <v>0</v>
      </c>
      <c r="E2" t="n">
        <v>0</v>
      </c>
      <c r="F2" t="n">
        <v>4.32</v>
      </c>
    </row>
    <row r="3">
      <c r="A3" t="inlineStr">
        <is>
          <t>pct_off</t>
        </is>
      </c>
      <c r="B3" t="n">
        <v>51019</v>
      </c>
      <c r="C3" t="n">
        <v>961609</v>
      </c>
      <c r="D3" t="n">
        <v>204624</v>
      </c>
      <c r="E3" t="n">
        <v>0.2128</v>
      </c>
      <c r="F3" t="n">
        <v>0.39</v>
      </c>
    </row>
    <row r="4">
      <c r="A4" t="inlineStr">
        <is>
          <t>free_delivery</t>
        </is>
      </c>
      <c r="B4" t="n">
        <v>10961</v>
      </c>
      <c r="C4" t="n">
        <v>299705</v>
      </c>
      <c r="D4" t="n">
        <v>78945</v>
      </c>
      <c r="E4" t="n">
        <v>0.2634</v>
      </c>
      <c r="F4" t="n">
        <v>-1.81</v>
      </c>
    </row>
    <row r="5">
      <c r="A5" t="inlineStr">
        <is>
          <t>loyalty_credit</t>
        </is>
      </c>
      <c r="B5" t="n">
        <v>8981</v>
      </c>
      <c r="C5" t="n">
        <v>196540</v>
      </c>
      <c r="D5" t="n">
        <v>52998</v>
      </c>
      <c r="E5" t="n">
        <v>0.2697</v>
      </c>
      <c r="F5" t="n">
        <v>-1.1</v>
      </c>
    </row>
    <row r="6">
      <c r="A6" t="inlineStr">
        <is>
          <t>first_order_flat</t>
        </is>
      </c>
      <c r="B6" t="n">
        <v>7021</v>
      </c>
      <c r="C6" t="n">
        <v>143292</v>
      </c>
      <c r="D6" t="n">
        <v>42126</v>
      </c>
      <c r="E6" t="n">
        <v>0.294</v>
      </c>
      <c r="F6" t="n">
        <v>-1.48</v>
      </c>
    </row>
    <row r="7">
      <c r="A7" t="inlineStr">
        <is>
          <t>cashback</t>
        </is>
      </c>
      <c r="B7" t="n">
        <v>6236</v>
      </c>
      <c r="C7" t="n">
        <v>177500</v>
      </c>
      <c r="D7" t="n">
        <v>33048</v>
      </c>
      <c r="E7" t="n">
        <v>0.1862</v>
      </c>
      <c r="F7" t="n">
        <v>0.39</v>
      </c>
    </row>
    <row r="8">
      <c r="A8" t="inlineStr">
        <is>
          <t>bundle</t>
        </is>
      </c>
      <c r="B8" t="n">
        <v>812</v>
      </c>
      <c r="C8" t="n">
        <v>31657</v>
      </c>
      <c r="D8" t="n">
        <v>5908</v>
      </c>
      <c r="E8" t="n">
        <v>0.1866</v>
      </c>
      <c r="F8" t="n">
        <v>-0.37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Change in 90-day CM ($): share lost (rows) x value of those who stay (columns)</t>
        </is>
      </c>
    </row>
    <row r="2">
      <c r="A2" t="inlineStr">
        <is>
          <t>Share lost \ value kept</t>
        </is>
      </c>
      <c r="B2" s="9" t="n">
        <v>0.5</v>
      </c>
      <c r="C2" s="9" t="n">
        <v>0.7</v>
      </c>
      <c r="D2" s="9" t="n">
        <v>0.8</v>
      </c>
      <c r="E2" s="9" t="n">
        <v>0.9</v>
      </c>
      <c r="F2" s="9" t="n">
        <v>1</v>
      </c>
    </row>
    <row r="3">
      <c r="A3" s="10" t="n">
        <v>0</v>
      </c>
      <c r="B3" s="3">
        <f>Scenario!$B$4*Scenario!$B$5*((1-$A3)*Scenario!$B$7*B$2-Scenario!$B$6)</f>
        <v/>
      </c>
      <c r="C3" s="3">
        <f>Scenario!$B$4*Scenario!$B$5*((1-$A3)*Scenario!$B$7*C$2-Scenario!$B$6)</f>
        <v/>
      </c>
      <c r="D3" s="3">
        <f>Scenario!$B$4*Scenario!$B$5*((1-$A3)*Scenario!$B$7*D$2-Scenario!$B$6)</f>
        <v/>
      </c>
      <c r="E3" s="3">
        <f>Scenario!$B$4*Scenario!$B$5*((1-$A3)*Scenario!$B$7*E$2-Scenario!$B$6)</f>
        <v/>
      </c>
      <c r="F3" s="3">
        <f>Scenario!$B$4*Scenario!$B$5*((1-$A3)*Scenario!$B$7*F$2-Scenario!$B$6)</f>
        <v/>
      </c>
    </row>
    <row r="4">
      <c r="A4" s="10" t="n">
        <v>0.1</v>
      </c>
      <c r="B4" s="3">
        <f>Scenario!$B$4*Scenario!$B$5*((1-$A4)*Scenario!$B$7*B$2-Scenario!$B$6)</f>
        <v/>
      </c>
      <c r="C4" s="3">
        <f>Scenario!$B$4*Scenario!$B$5*((1-$A4)*Scenario!$B$7*C$2-Scenario!$B$6)</f>
        <v/>
      </c>
      <c r="D4" s="3">
        <f>Scenario!$B$4*Scenario!$B$5*((1-$A4)*Scenario!$B$7*D$2-Scenario!$B$6)</f>
        <v/>
      </c>
      <c r="E4" s="3">
        <f>Scenario!$B$4*Scenario!$B$5*((1-$A4)*Scenario!$B$7*E$2-Scenario!$B$6)</f>
        <v/>
      </c>
      <c r="F4" s="3">
        <f>Scenario!$B$4*Scenario!$B$5*((1-$A4)*Scenario!$B$7*F$2-Scenario!$B$6)</f>
        <v/>
      </c>
    </row>
    <row r="5">
      <c r="A5" s="10" t="n">
        <v>0.2</v>
      </c>
      <c r="B5" s="3">
        <f>Scenario!$B$4*Scenario!$B$5*((1-$A5)*Scenario!$B$7*B$2-Scenario!$B$6)</f>
        <v/>
      </c>
      <c r="C5" s="3">
        <f>Scenario!$B$4*Scenario!$B$5*((1-$A5)*Scenario!$B$7*C$2-Scenario!$B$6)</f>
        <v/>
      </c>
      <c r="D5" s="3">
        <f>Scenario!$B$4*Scenario!$B$5*((1-$A5)*Scenario!$B$7*D$2-Scenario!$B$6)</f>
        <v/>
      </c>
      <c r="E5" s="3">
        <f>Scenario!$B$4*Scenario!$B$5*((1-$A5)*Scenario!$B$7*E$2-Scenario!$B$6)</f>
        <v/>
      </c>
      <c r="F5" s="3">
        <f>Scenario!$B$4*Scenario!$B$5*((1-$A5)*Scenario!$B$7*F$2-Scenario!$B$6)</f>
        <v/>
      </c>
    </row>
    <row r="6">
      <c r="A6" s="10" t="n">
        <v>0.3</v>
      </c>
      <c r="B6" s="3">
        <f>Scenario!$B$4*Scenario!$B$5*((1-$A6)*Scenario!$B$7*B$2-Scenario!$B$6)</f>
        <v/>
      </c>
      <c r="C6" s="3">
        <f>Scenario!$B$4*Scenario!$B$5*((1-$A6)*Scenario!$B$7*C$2-Scenario!$B$6)</f>
        <v/>
      </c>
      <c r="D6" s="3">
        <f>Scenario!$B$4*Scenario!$B$5*((1-$A6)*Scenario!$B$7*D$2-Scenario!$B$6)</f>
        <v/>
      </c>
      <c r="E6" s="3">
        <f>Scenario!$B$4*Scenario!$B$5*((1-$A6)*Scenario!$B$7*E$2-Scenario!$B$6)</f>
        <v/>
      </c>
      <c r="F6" s="3">
        <f>Scenario!$B$4*Scenario!$B$5*((1-$A6)*Scenario!$B$7*F$2-Scenario!$B$6)</f>
        <v/>
      </c>
    </row>
    <row r="7">
      <c r="A7" s="10" t="n">
        <v>0.4</v>
      </c>
      <c r="B7" s="3">
        <f>Scenario!$B$4*Scenario!$B$5*((1-$A7)*Scenario!$B$7*B$2-Scenario!$B$6)</f>
        <v/>
      </c>
      <c r="C7" s="3">
        <f>Scenario!$B$4*Scenario!$B$5*((1-$A7)*Scenario!$B$7*C$2-Scenario!$B$6)</f>
        <v/>
      </c>
      <c r="D7" s="3">
        <f>Scenario!$B$4*Scenario!$B$5*((1-$A7)*Scenario!$B$7*D$2-Scenario!$B$6)</f>
        <v/>
      </c>
      <c r="E7" s="3">
        <f>Scenario!$B$4*Scenario!$B$5*((1-$A7)*Scenario!$B$7*E$2-Scenario!$B$6)</f>
        <v/>
      </c>
      <c r="F7" s="3">
        <f>Scenario!$B$4*Scenario!$B$5*((1-$A7)*Scenario!$B$7*F$2-Scenario!$B$6)</f>
        <v/>
      </c>
    </row>
    <row r="8">
      <c r="A8" s="10" t="n">
        <v>0.5</v>
      </c>
      <c r="B8" s="3">
        <f>Scenario!$B$4*Scenario!$B$5*((1-$A8)*Scenario!$B$7*B$2-Scenario!$B$6)</f>
        <v/>
      </c>
      <c r="C8" s="3">
        <f>Scenario!$B$4*Scenario!$B$5*((1-$A8)*Scenario!$B$7*C$2-Scenario!$B$6)</f>
        <v/>
      </c>
      <c r="D8" s="3">
        <f>Scenario!$B$4*Scenario!$B$5*((1-$A8)*Scenario!$B$7*D$2-Scenario!$B$6)</f>
        <v/>
      </c>
      <c r="E8" s="3">
        <f>Scenario!$B$4*Scenario!$B$5*((1-$A8)*Scenario!$B$7*E$2-Scenario!$B$6)</f>
        <v/>
      </c>
      <c r="F8" s="3">
        <f>Scenario!$B$4*Scenario!$B$5*((1-$A8)*Scenario!$B$7*F$2-Scenario!$B$6)</f>
        <v/>
      </c>
    </row>
    <row r="9">
      <c r="A9" s="10" t="n">
        <v>0.75</v>
      </c>
      <c r="B9" s="3">
        <f>Scenario!$B$4*Scenario!$B$5*((1-$A9)*Scenario!$B$7*B$2-Scenario!$B$6)</f>
        <v/>
      </c>
      <c r="C9" s="3">
        <f>Scenario!$B$4*Scenario!$B$5*((1-$A9)*Scenario!$B$7*C$2-Scenario!$B$6)</f>
        <v/>
      </c>
      <c r="D9" s="3">
        <f>Scenario!$B$4*Scenario!$B$5*((1-$A9)*Scenario!$B$7*D$2-Scenario!$B$6)</f>
        <v/>
      </c>
      <c r="E9" s="3">
        <f>Scenario!$B$4*Scenario!$B$5*((1-$A9)*Scenario!$B$7*E$2-Scenario!$B$6)</f>
        <v/>
      </c>
      <c r="F9" s="3">
        <f>Scenario!$B$4*Scenario!$B$5*((1-$A9)*Scenario!$B$7*F$2-Scenario!$B$6)</f>
        <v/>
      </c>
    </row>
    <row r="10">
      <c r="A10" s="10" t="n">
        <v>1</v>
      </c>
      <c r="B10" s="3">
        <f>Scenario!$B$4*Scenario!$B$5*((1-$A10)*Scenario!$B$7*B$2-Scenario!$B$6)</f>
        <v/>
      </c>
      <c r="C10" s="3">
        <f>Scenario!$B$4*Scenario!$B$5*((1-$A10)*Scenario!$B$7*C$2-Scenario!$B$6)</f>
        <v/>
      </c>
      <c r="D10" s="3">
        <f>Scenario!$B$4*Scenario!$B$5*((1-$A10)*Scenario!$B$7*D$2-Scenario!$B$6)</f>
        <v/>
      </c>
      <c r="E10" s="3">
        <f>Scenario!$B$4*Scenario!$B$5*((1-$A10)*Scenario!$B$7*E$2-Scenario!$B$6)</f>
        <v/>
      </c>
      <c r="F10" s="3">
        <f>Scenario!$B$4*Scenario!$B$5*((1-$A10)*Scenario!$B$7*F$2-Scenario!$B$6)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2026-10-21T05:02:09Z</dcterms:created>
  <dcterms:modified xsi:type="dcterms:W3CDTF">2026-10-21T05:02:09Z</dcterms:modified>
</cp:coreProperties>
</file>